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dertruck-my.sharepoint.com/personal/daniel_armbruster_ryder_com/Documents/"/>
    </mc:Choice>
  </mc:AlternateContent>
  <xr:revisionPtr revIDLastSave="0" documentId="8_{456A911D-5B3D-4BFC-AEF3-06D87F0EE1F5}" xr6:coauthVersionLast="47" xr6:coauthVersionMax="47" xr10:uidLastSave="{00000000-0000-0000-0000-000000000000}"/>
  <bookViews>
    <workbookView xWindow="-120" yWindow="-120" windowWidth="29040" windowHeight="15720" xr2:uid="{D4DA5A12-2EBC-406C-AF5D-B4B230D409C0}"/>
  </bookViews>
  <sheets>
    <sheet name="Mileage Range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1" l="1"/>
  <c r="I49" i="1"/>
  <c r="L49" i="1" s="1"/>
  <c r="L48" i="1"/>
  <c r="J48" i="1"/>
  <c r="I48" i="1"/>
  <c r="J47" i="1"/>
  <c r="I47" i="1"/>
  <c r="L47" i="1" s="1"/>
  <c r="J46" i="1"/>
  <c r="I46" i="1"/>
  <c r="L46" i="1" s="1"/>
  <c r="L45" i="1"/>
  <c r="J45" i="1"/>
  <c r="I45" i="1"/>
  <c r="L44" i="1"/>
  <c r="J44" i="1"/>
  <c r="I44" i="1"/>
  <c r="J43" i="1"/>
  <c r="I43" i="1"/>
  <c r="L43" i="1" s="1"/>
  <c r="J42" i="1"/>
  <c r="I42" i="1"/>
  <c r="L42" i="1" s="1"/>
  <c r="L41" i="1"/>
  <c r="J41" i="1"/>
  <c r="I41" i="1"/>
  <c r="L40" i="1"/>
  <c r="J40" i="1"/>
  <c r="I40" i="1"/>
  <c r="J39" i="1"/>
  <c r="I39" i="1"/>
  <c r="L39" i="1" s="1"/>
  <c r="J38" i="1"/>
  <c r="I38" i="1"/>
  <c r="L38" i="1" s="1"/>
  <c r="L37" i="1"/>
  <c r="J37" i="1"/>
  <c r="I37" i="1"/>
  <c r="L36" i="1"/>
  <c r="J36" i="1"/>
  <c r="I36" i="1"/>
  <c r="J35" i="1"/>
  <c r="I35" i="1"/>
  <c r="L35" i="1" s="1"/>
  <c r="J34" i="1"/>
  <c r="I34" i="1"/>
  <c r="L34" i="1" s="1"/>
  <c r="L33" i="1"/>
  <c r="J33" i="1"/>
  <c r="I33" i="1"/>
  <c r="L32" i="1"/>
  <c r="J32" i="1"/>
  <c r="I32" i="1"/>
  <c r="J31" i="1"/>
  <c r="I31" i="1"/>
  <c r="L31" i="1" s="1"/>
  <c r="J30" i="1"/>
  <c r="I30" i="1"/>
  <c r="L30" i="1" s="1"/>
  <c r="L29" i="1"/>
  <c r="J29" i="1"/>
  <c r="I29" i="1"/>
  <c r="L28" i="1"/>
  <c r="J28" i="1"/>
  <c r="I28" i="1"/>
  <c r="J27" i="1"/>
  <c r="I27" i="1"/>
  <c r="L27" i="1" s="1"/>
  <c r="J26" i="1"/>
  <c r="I26" i="1"/>
  <c r="L26" i="1" s="1"/>
  <c r="L25" i="1"/>
  <c r="J25" i="1"/>
  <c r="I25" i="1"/>
  <c r="L24" i="1"/>
  <c r="J24" i="1"/>
  <c r="I24" i="1"/>
  <c r="J23" i="1"/>
  <c r="I23" i="1"/>
  <c r="L23" i="1" s="1"/>
  <c r="J22" i="1"/>
  <c r="I22" i="1"/>
  <c r="L22" i="1" s="1"/>
  <c r="L21" i="1"/>
  <c r="J21" i="1"/>
  <c r="I21" i="1"/>
  <c r="L20" i="1"/>
  <c r="J20" i="1"/>
  <c r="I20" i="1"/>
  <c r="J19" i="1"/>
  <c r="I19" i="1"/>
  <c r="L19" i="1" s="1"/>
  <c r="J18" i="1"/>
  <c r="I18" i="1"/>
  <c r="L18" i="1" s="1"/>
  <c r="L17" i="1"/>
  <c r="J17" i="1"/>
  <c r="I17" i="1"/>
  <c r="L16" i="1"/>
  <c r="J16" i="1"/>
  <c r="I16" i="1"/>
  <c r="J15" i="1"/>
  <c r="I15" i="1"/>
  <c r="L15" i="1" s="1"/>
  <c r="J14" i="1"/>
  <c r="I14" i="1"/>
  <c r="L14" i="1" s="1"/>
  <c r="L13" i="1"/>
  <c r="J13" i="1"/>
  <c r="I13" i="1"/>
  <c r="L12" i="1"/>
  <c r="J12" i="1"/>
  <c r="I12" i="1"/>
  <c r="J11" i="1"/>
  <c r="I11" i="1"/>
  <c r="L11" i="1" s="1"/>
  <c r="J10" i="1"/>
  <c r="I10" i="1"/>
  <c r="L10" i="1" s="1"/>
  <c r="L9" i="1"/>
  <c r="J9" i="1"/>
  <c r="I9" i="1"/>
  <c r="L8" i="1"/>
  <c r="J8" i="1"/>
  <c r="I8" i="1"/>
  <c r="J7" i="1"/>
  <c r="I7" i="1"/>
  <c r="L7" i="1" s="1"/>
  <c r="J6" i="1"/>
  <c r="I6" i="1"/>
  <c r="L6" i="1" s="1"/>
  <c r="L5" i="1"/>
  <c r="J5" i="1"/>
  <c r="I5" i="1"/>
  <c r="L4" i="1"/>
  <c r="J4" i="1"/>
  <c r="I4" i="1"/>
  <c r="J3" i="1"/>
  <c r="I3" i="1"/>
  <c r="L3" i="1" s="1"/>
  <c r="J2" i="1"/>
  <c r="I2" i="1"/>
  <c r="L2" i="1" s="1"/>
</calcChain>
</file>

<file path=xl/sharedStrings.xml><?xml version="1.0" encoding="utf-8"?>
<sst xmlns="http://schemas.openxmlformats.org/spreadsheetml/2006/main" count="300" uniqueCount="250">
  <si>
    <t>State Abbrev</t>
  </si>
  <si>
    <t>State</t>
  </si>
  <si>
    <t>Closest City</t>
  </si>
  <si>
    <t>Closest Miles</t>
  </si>
  <si>
    <t>Central City</t>
  </si>
  <si>
    <t>Central Miles</t>
  </si>
  <si>
    <t>Furthest City</t>
  </si>
  <si>
    <t>Furthest Miles</t>
  </si>
  <si>
    <t>3-Point Avg Miles</t>
  </si>
  <si>
    <t>Range Miles</t>
  </si>
  <si>
    <t>Destination</t>
  </si>
  <si>
    <t>Avg Transit Time Days</t>
  </si>
  <si>
    <t>AL</t>
  </si>
  <si>
    <t>Alabama</t>
  </si>
  <si>
    <t>Bayou La Batre</t>
  </si>
  <si>
    <t>Maplesville</t>
  </si>
  <si>
    <t>Bridgeport</t>
  </si>
  <si>
    <t>Laredo, TX</t>
  </si>
  <si>
    <t>AZ</t>
  </si>
  <si>
    <t>Arizona</t>
  </si>
  <si>
    <t>Douglas</t>
  </si>
  <si>
    <t>Prescott</t>
  </si>
  <si>
    <t>Colorado City</t>
  </si>
  <si>
    <t>AR</t>
  </si>
  <si>
    <t>Arkansas</t>
  </si>
  <si>
    <t>Texarkana</t>
  </si>
  <si>
    <t>Little Rock</t>
  </si>
  <si>
    <t>Blytheville</t>
  </si>
  <si>
    <t>CA</t>
  </si>
  <si>
    <t>California</t>
  </si>
  <si>
    <t>Blythe</t>
  </si>
  <si>
    <t>Madera</t>
  </si>
  <si>
    <t>Crescent City</t>
  </si>
  <si>
    <t>CO</t>
  </si>
  <si>
    <t>Colorado</t>
  </si>
  <si>
    <t>Springfield</t>
  </si>
  <si>
    <t>Colorado Springs</t>
  </si>
  <si>
    <t>Craig</t>
  </si>
  <si>
    <t>CT</t>
  </si>
  <si>
    <t>Connecticut</t>
  </si>
  <si>
    <t>Greenwich</t>
  </si>
  <si>
    <t>East Berlin</t>
  </si>
  <si>
    <t>Putnam</t>
  </si>
  <si>
    <t>DE</t>
  </si>
  <si>
    <t>Delaware</t>
  </si>
  <si>
    <t>Delmar</t>
  </si>
  <si>
    <t>Dover</t>
  </si>
  <si>
    <t>Wilmington</t>
  </si>
  <si>
    <t>FL</t>
  </si>
  <si>
    <t>Florida</t>
  </si>
  <si>
    <t>Pensacola</t>
  </si>
  <si>
    <t>Brooksville</t>
  </si>
  <si>
    <t>Fernandina Beach</t>
  </si>
  <si>
    <t>GA</t>
  </si>
  <si>
    <t>Georgia</t>
  </si>
  <si>
    <t>Bainbridge</t>
  </si>
  <si>
    <t>Macon</t>
  </si>
  <si>
    <t>Dillard</t>
  </si>
  <si>
    <t>ID</t>
  </si>
  <si>
    <t>Idaho</t>
  </si>
  <si>
    <t>Preston</t>
  </si>
  <si>
    <t>Challis</t>
  </si>
  <si>
    <t>Bonners Ferry</t>
  </si>
  <si>
    <t>IL</t>
  </si>
  <si>
    <t>Illinois</t>
  </si>
  <si>
    <t>Cairo</t>
  </si>
  <si>
    <t>Zion</t>
  </si>
  <si>
    <t>IN</t>
  </si>
  <si>
    <t>Indiana</t>
  </si>
  <si>
    <t>Evansville</t>
  </si>
  <si>
    <t>Indianapolis</t>
  </si>
  <si>
    <t>Angola</t>
  </si>
  <si>
    <t>IA</t>
  </si>
  <si>
    <t>Iowa</t>
  </si>
  <si>
    <t>Keokuk</t>
  </si>
  <si>
    <t>Ames</t>
  </si>
  <si>
    <t>Lansing</t>
  </si>
  <si>
    <t>KS</t>
  </si>
  <si>
    <t>Kansas</t>
  </si>
  <si>
    <t>Liberal</t>
  </si>
  <si>
    <t>Bushton</t>
  </si>
  <si>
    <t>Atchison</t>
  </si>
  <si>
    <t>KY</t>
  </si>
  <si>
    <t>Kentucky</t>
  </si>
  <si>
    <t>Paducah</t>
  </si>
  <si>
    <t>Lebanon</t>
  </si>
  <si>
    <t>Ashland</t>
  </si>
  <si>
    <t>LA</t>
  </si>
  <si>
    <t>Louisiana</t>
  </si>
  <si>
    <t>Cameron</t>
  </si>
  <si>
    <t>Marksville</t>
  </si>
  <si>
    <t>Bogalusa</t>
  </si>
  <si>
    <t>ME</t>
  </si>
  <si>
    <t>Maine</t>
  </si>
  <si>
    <t>Kittery</t>
  </si>
  <si>
    <t>Dover-Foxcroft</t>
  </si>
  <si>
    <t>Fort Kent</t>
  </si>
  <si>
    <t>MD</t>
  </si>
  <si>
    <t>Maryland</t>
  </si>
  <si>
    <t>Oakland</t>
  </si>
  <si>
    <t>Bowie</t>
  </si>
  <si>
    <t>Ocean City</t>
  </si>
  <si>
    <t>MA</t>
  </si>
  <si>
    <t>Massachusetts</t>
  </si>
  <si>
    <t>Westfield</t>
  </si>
  <si>
    <t>Worcester</t>
  </si>
  <si>
    <t>Provincetown</t>
  </si>
  <si>
    <t>MI</t>
  </si>
  <si>
    <t>Michigan</t>
  </si>
  <si>
    <t>New Buffalo</t>
  </si>
  <si>
    <t>Cadillac</t>
  </si>
  <si>
    <t>Sault Ste. Marie</t>
  </si>
  <si>
    <t>MN</t>
  </si>
  <si>
    <t>Minnesota</t>
  </si>
  <si>
    <t>Luverne</t>
  </si>
  <si>
    <t>Brainerd</t>
  </si>
  <si>
    <t>Grand Portage</t>
  </si>
  <si>
    <t>MS</t>
  </si>
  <si>
    <t>Mississippi</t>
  </si>
  <si>
    <t>Natchez</t>
  </si>
  <si>
    <t>Carthage</t>
  </si>
  <si>
    <t>Iuka</t>
  </si>
  <si>
    <t>MO</t>
  </si>
  <si>
    <t>Missouri</t>
  </si>
  <si>
    <t>Joplin</t>
  </si>
  <si>
    <t>Jefferson City</t>
  </si>
  <si>
    <t>Hannibal</t>
  </si>
  <si>
    <t>MT</t>
  </si>
  <si>
    <t>Montana</t>
  </si>
  <si>
    <t>Broadus</t>
  </si>
  <si>
    <t>Lewistown</t>
  </si>
  <si>
    <t>Eureka</t>
  </si>
  <si>
    <t>NE</t>
  </si>
  <si>
    <t>Nebraska</t>
  </si>
  <si>
    <t>McCook</t>
  </si>
  <si>
    <t>Broken Bow</t>
  </si>
  <si>
    <t>South Sioux City</t>
  </si>
  <si>
    <t>NV</t>
  </si>
  <si>
    <t>Nevada</t>
  </si>
  <si>
    <t>Laughlin</t>
  </si>
  <si>
    <t>Austin</t>
  </si>
  <si>
    <t>Jackpot</t>
  </si>
  <si>
    <t>NH</t>
  </si>
  <si>
    <t>New Hampshire</t>
  </si>
  <si>
    <t>Keene</t>
  </si>
  <si>
    <t>Berlin</t>
  </si>
  <si>
    <t>NJ</t>
  </si>
  <si>
    <t>New Jersey</t>
  </si>
  <si>
    <t>Cape May</t>
  </si>
  <si>
    <t>Trenton</t>
  </si>
  <si>
    <t>Montague</t>
  </si>
  <si>
    <t>NM</t>
  </si>
  <si>
    <t>New Mexico</t>
  </si>
  <si>
    <t>Hobbs</t>
  </si>
  <si>
    <t>Willard</t>
  </si>
  <si>
    <t>Farmington</t>
  </si>
  <si>
    <t>NY</t>
  </si>
  <si>
    <t>New York</t>
  </si>
  <si>
    <t>Jamestown</t>
  </si>
  <si>
    <t>Oneida</t>
  </si>
  <si>
    <t>Plattsburgh</t>
  </si>
  <si>
    <t>NC</t>
  </si>
  <si>
    <t>North Carolina</t>
  </si>
  <si>
    <t>Murphy</t>
  </si>
  <si>
    <t>Sanford</t>
  </si>
  <si>
    <t>Nags Head</t>
  </si>
  <si>
    <t>ND</t>
  </si>
  <si>
    <t>North Dakota</t>
  </si>
  <si>
    <t>Bowman</t>
  </si>
  <si>
    <t>McClusky</t>
  </si>
  <si>
    <t>Pembina</t>
  </si>
  <si>
    <t>OH</t>
  </si>
  <si>
    <t>Ohio</t>
  </si>
  <si>
    <t>Cincinnati</t>
  </si>
  <si>
    <t>Centerburg</t>
  </si>
  <si>
    <t>Ashtabula</t>
  </si>
  <si>
    <t>OK</t>
  </si>
  <si>
    <t>Oklahoma</t>
  </si>
  <si>
    <t>Altus</t>
  </si>
  <si>
    <t>Edmond</t>
  </si>
  <si>
    <t>Miami</t>
  </si>
  <si>
    <t>OR</t>
  </si>
  <si>
    <t>Oregon</t>
  </si>
  <si>
    <t>Ontario</t>
  </si>
  <si>
    <t>Prineville</t>
  </si>
  <si>
    <t>Astoria</t>
  </si>
  <si>
    <t>PA</t>
  </si>
  <si>
    <t>Pennsylvania</t>
  </si>
  <si>
    <t>Waynesburg</t>
  </si>
  <si>
    <t>State College</t>
  </si>
  <si>
    <t>Milford</t>
  </si>
  <si>
    <t>RI</t>
  </si>
  <si>
    <t>Rhode Island</t>
  </si>
  <si>
    <t>Westerly</t>
  </si>
  <si>
    <t>West Warwick</t>
  </si>
  <si>
    <t>Woonsocket</t>
  </si>
  <si>
    <t>SC</t>
  </si>
  <si>
    <t>South Carolina</t>
  </si>
  <si>
    <t>Aiken</t>
  </si>
  <si>
    <t>Columbia</t>
  </si>
  <si>
    <t>Myrtle Beach</t>
  </si>
  <si>
    <t>SD</t>
  </si>
  <si>
    <t>South Dakota</t>
  </si>
  <si>
    <t>Hot Springs</t>
  </si>
  <si>
    <t>Pierre</t>
  </si>
  <si>
    <t>Sisseton</t>
  </si>
  <si>
    <t>TN</t>
  </si>
  <si>
    <t>Tennessee</t>
  </si>
  <si>
    <t>Memphis</t>
  </si>
  <si>
    <t>Murfreesboro</t>
  </si>
  <si>
    <t>Bristol</t>
  </si>
  <si>
    <t>TX</t>
  </si>
  <si>
    <t>Texas</t>
  </si>
  <si>
    <t>Laredo</t>
  </si>
  <si>
    <t>Brady</t>
  </si>
  <si>
    <t>Texline</t>
  </si>
  <si>
    <t>UT</t>
  </si>
  <si>
    <t>Utah</t>
  </si>
  <si>
    <t>Bluff</t>
  </si>
  <si>
    <t>Manti</t>
  </si>
  <si>
    <t>Logan</t>
  </si>
  <si>
    <t>VT</t>
  </si>
  <si>
    <t>Vermont</t>
  </si>
  <si>
    <t>Bennington</t>
  </si>
  <si>
    <t>Roxbury</t>
  </si>
  <si>
    <t>Newport</t>
  </si>
  <si>
    <t>VA</t>
  </si>
  <si>
    <t>Virginia</t>
  </si>
  <si>
    <t>Buckingham</t>
  </si>
  <si>
    <t>Chincoteague</t>
  </si>
  <si>
    <t>WA</t>
  </si>
  <si>
    <t>Washington</t>
  </si>
  <si>
    <t>Walla Walla</t>
  </si>
  <si>
    <t>Wenatchee</t>
  </si>
  <si>
    <t>Port Angeles</t>
  </si>
  <si>
    <t>WV</t>
  </si>
  <si>
    <t>West Virginia</t>
  </si>
  <si>
    <t>Bluefield</t>
  </si>
  <si>
    <t>Sutton</t>
  </si>
  <si>
    <t>Weirton</t>
  </si>
  <si>
    <t>WI</t>
  </si>
  <si>
    <t>Wisconsin</t>
  </si>
  <si>
    <t>Beloit</t>
  </si>
  <si>
    <t>Marshfield</t>
  </si>
  <si>
    <t>Superior</t>
  </si>
  <si>
    <t>WY</t>
  </si>
  <si>
    <t>Wyoming</t>
  </si>
  <si>
    <t>Cheyenne</t>
  </si>
  <si>
    <t>Lander</t>
  </si>
  <si>
    <t>Cody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</si>
</sst>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3" fontId="0" fillId="2" borderId="1" xfId="0" applyNumberFormat="1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</cellXfs>
  <cellStyles count="1">
    <cellStyle name="Normal" xfId="0" builtinId="0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AF5568-1DC4-4EB9-9936-76815E3AB44E}" name="MileageRangeSummary" displayName="MileageRangeSummary" ref="A1:L49">
  <autoFilter ref="A1:L49" xr:uid="{00000000-0009-0000-0100-000001000000}"/>
  <tableColumns count="12">
    <tableColumn id="1" xr3:uid="{44A3A2A4-7CB0-44E4-816D-67F168ADEE51}" name="State Abbrev"/>
    <tableColumn id="2" xr3:uid="{4FFC1A76-A84F-498A-981E-4402E998F3BC}" name="State"/>
    <tableColumn id="3" xr3:uid="{D25A63CD-2BFB-4CCB-BBC9-C8DAEE069792}" name="Closest City"/>
    <tableColumn id="4" xr3:uid="{A5E8DB3C-FE21-471C-8B75-CC6EE2A4268A}" name="Closest Miles"/>
    <tableColumn id="5" xr3:uid="{0957842C-3D0C-4B79-B8CD-96E52C77C02B}" name="Central City"/>
    <tableColumn id="6" xr3:uid="{7697AC26-E157-4F81-A71A-87F8318F62EB}" name="Central Miles"/>
    <tableColumn id="7" xr3:uid="{B1635F70-4A73-4B24-B35E-8E7CC98B5B29}" name="Furthest City"/>
    <tableColumn id="8" xr3:uid="{4C4CF508-BF50-43E1-B6E7-A8713EC65DBC}" name="Furthest Miles"/>
    <tableColumn id="9" xr3:uid="{A1294A23-683A-4DEF-B43B-F9EE270F0C40}" name="3-Point Avg Miles">
      <calculatedColumnFormula>AVERAGE(D2,F2,H2)</calculatedColumnFormula>
    </tableColumn>
    <tableColumn id="10" xr3:uid="{44AB772F-8ED9-44DD-894C-FAECB3872CDC}" name="Range Miles">
      <calculatedColumnFormula>H2-D2</calculatedColumnFormula>
    </tableColumn>
    <tableColumn id="11" xr3:uid="{CE33F11D-5EB8-45C0-8B13-E2E9D73B60E1}" name="Destination"/>
    <tableColumn id="12" xr3:uid="{A08E3E78-56F4-43F6-BE8E-CCCA4020DB38}" name="Avg Transit Time Days" dataDxfId="0">
      <calculatedColumnFormula>MileageRangeSummary[[#This Row],[3-Point Avg Miles]]/500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A210-958C-40F0-BE8B-8BE700B83B6A}">
  <dimension ref="A1:L49"/>
  <sheetViews>
    <sheetView showGridLines="0" tabSelected="1" workbookViewId="0">
      <pane ySplit="1" topLeftCell="A5" activePane="bottomLeft" state="frozen"/>
      <selection pane="bottomLeft" activeCell="K5" sqref="K5"/>
    </sheetView>
  </sheetViews>
  <sheetFormatPr defaultRowHeight="15" x14ac:dyDescent="0.25"/>
  <cols>
    <col min="1" max="1" width="12" customWidth="1"/>
    <col min="2" max="2" width="18" customWidth="1"/>
    <col min="3" max="3" width="20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16" customWidth="1"/>
    <col min="10" max="11" width="14" customWidth="1"/>
    <col min="12" max="12" width="18" customWidth="1"/>
  </cols>
  <sheetData>
    <row r="1" spans="1:12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>
        <v>708</v>
      </c>
      <c r="E2" s="2" t="s">
        <v>15</v>
      </c>
      <c r="F2" s="3">
        <v>840</v>
      </c>
      <c r="G2" s="2" t="s">
        <v>16</v>
      </c>
      <c r="H2" s="3">
        <v>962</v>
      </c>
      <c r="I2" s="4">
        <f t="shared" ref="I2:I49" si="0">AVERAGE(D2,F2,H2)</f>
        <v>836.66666666666663</v>
      </c>
      <c r="J2" s="4">
        <f t="shared" ref="J2:J49" si="1">H2-D2</f>
        <v>254</v>
      </c>
      <c r="K2" s="2" t="s">
        <v>17</v>
      </c>
      <c r="L2" s="5">
        <f>MileageRangeSummary[[#This Row],[3-Point Avg Miles]]/500</f>
        <v>1.6733333333333333</v>
      </c>
    </row>
    <row r="3" spans="1:12" x14ac:dyDescent="0.25">
      <c r="A3" s="2" t="s">
        <v>18</v>
      </c>
      <c r="B3" s="2" t="s">
        <v>19</v>
      </c>
      <c r="C3" s="2" t="s">
        <v>20</v>
      </c>
      <c r="D3" s="3">
        <v>659</v>
      </c>
      <c r="E3" s="2" t="s">
        <v>21</v>
      </c>
      <c r="F3" s="3">
        <v>858</v>
      </c>
      <c r="G3" s="2" t="s">
        <v>22</v>
      </c>
      <c r="H3" s="3">
        <v>1022</v>
      </c>
      <c r="I3" s="4">
        <f t="shared" si="0"/>
        <v>846.33333333333337</v>
      </c>
      <c r="J3" s="4">
        <f t="shared" si="1"/>
        <v>363</v>
      </c>
      <c r="K3" s="2" t="s">
        <v>17</v>
      </c>
      <c r="L3" s="5">
        <f>MileageRangeSummary[[#This Row],[3-Point Avg Miles]]/500</f>
        <v>1.6926666666666668</v>
      </c>
    </row>
    <row r="4" spans="1:12" x14ac:dyDescent="0.25">
      <c r="A4" s="2" t="s">
        <v>23</v>
      </c>
      <c r="B4" s="2" t="s">
        <v>24</v>
      </c>
      <c r="C4" s="2" t="s">
        <v>25</v>
      </c>
      <c r="D4" s="3">
        <v>522</v>
      </c>
      <c r="E4" s="2" t="s">
        <v>26</v>
      </c>
      <c r="F4" s="3">
        <v>659</v>
      </c>
      <c r="G4" s="2" t="s">
        <v>27</v>
      </c>
      <c r="H4" s="3">
        <v>809</v>
      </c>
      <c r="I4" s="4">
        <f t="shared" si="0"/>
        <v>663.33333333333337</v>
      </c>
      <c r="J4" s="4">
        <f t="shared" si="1"/>
        <v>287</v>
      </c>
      <c r="K4" s="2" t="s">
        <v>17</v>
      </c>
      <c r="L4" s="5">
        <f>MileageRangeSummary[[#This Row],[3-Point Avg Miles]]/500</f>
        <v>1.3266666666666667</v>
      </c>
    </row>
    <row r="5" spans="1:12" x14ac:dyDescent="0.25">
      <c r="A5" s="2" t="s">
        <v>28</v>
      </c>
      <c r="B5" s="2" t="s">
        <v>29</v>
      </c>
      <c r="C5" s="2" t="s">
        <v>30</v>
      </c>
      <c r="D5" s="3">
        <v>990</v>
      </c>
      <c r="E5" s="2" t="s">
        <v>31</v>
      </c>
      <c r="F5" s="3">
        <v>1339</v>
      </c>
      <c r="G5" s="2" t="s">
        <v>32</v>
      </c>
      <c r="H5" s="3">
        <v>1705</v>
      </c>
      <c r="I5" s="4">
        <f t="shared" si="0"/>
        <v>1344.6666666666667</v>
      </c>
      <c r="J5" s="4">
        <f t="shared" si="1"/>
        <v>715</v>
      </c>
      <c r="K5" s="2" t="s">
        <v>17</v>
      </c>
      <c r="L5" s="5">
        <f>MileageRangeSummary[[#This Row],[3-Point Avg Miles]]/500</f>
        <v>2.6893333333333334</v>
      </c>
    </row>
    <row r="6" spans="1:12" x14ac:dyDescent="0.25">
      <c r="A6" s="2" t="s">
        <v>33</v>
      </c>
      <c r="B6" s="2" t="s">
        <v>34</v>
      </c>
      <c r="C6" s="2" t="s">
        <v>35</v>
      </c>
      <c r="D6" s="3">
        <v>708</v>
      </c>
      <c r="E6" s="2" t="s">
        <v>36</v>
      </c>
      <c r="F6" s="3">
        <v>867</v>
      </c>
      <c r="G6" s="2" t="s">
        <v>37</v>
      </c>
      <c r="H6" s="3">
        <v>1009</v>
      </c>
      <c r="I6" s="4">
        <f t="shared" si="0"/>
        <v>861.33333333333337</v>
      </c>
      <c r="J6" s="4">
        <f t="shared" si="1"/>
        <v>301</v>
      </c>
      <c r="K6" s="2" t="s">
        <v>17</v>
      </c>
      <c r="L6" s="5">
        <f>MileageRangeSummary[[#This Row],[3-Point Avg Miles]]/500</f>
        <v>1.7226666666666668</v>
      </c>
    </row>
    <row r="7" spans="1:12" x14ac:dyDescent="0.25">
      <c r="A7" s="2" t="s">
        <v>38</v>
      </c>
      <c r="B7" s="2" t="s">
        <v>39</v>
      </c>
      <c r="C7" s="2" t="s">
        <v>40</v>
      </c>
      <c r="D7" s="3">
        <v>1738</v>
      </c>
      <c r="E7" s="2" t="s">
        <v>41</v>
      </c>
      <c r="F7" s="3">
        <v>1798</v>
      </c>
      <c r="G7" s="2" t="s">
        <v>42</v>
      </c>
      <c r="H7" s="3">
        <v>1844</v>
      </c>
      <c r="I7" s="4">
        <f t="shared" si="0"/>
        <v>1793.3333333333333</v>
      </c>
      <c r="J7" s="4">
        <f t="shared" si="1"/>
        <v>106</v>
      </c>
      <c r="K7" s="2" t="s">
        <v>17</v>
      </c>
      <c r="L7" s="5">
        <f>MileageRangeSummary[[#This Row],[3-Point Avg Miles]]/500</f>
        <v>3.5866666666666664</v>
      </c>
    </row>
    <row r="8" spans="1:12" x14ac:dyDescent="0.25">
      <c r="A8" s="2" t="s">
        <v>43</v>
      </c>
      <c r="B8" s="2" t="s">
        <v>44</v>
      </c>
      <c r="C8" s="2" t="s">
        <v>45</v>
      </c>
      <c r="D8" s="3">
        <v>1573</v>
      </c>
      <c r="E8" s="2" t="s">
        <v>46</v>
      </c>
      <c r="F8" s="3">
        <v>1591</v>
      </c>
      <c r="G8" s="2" t="s">
        <v>47</v>
      </c>
      <c r="H8" s="3">
        <v>1610</v>
      </c>
      <c r="I8" s="4">
        <f t="shared" si="0"/>
        <v>1591.3333333333333</v>
      </c>
      <c r="J8" s="4">
        <f t="shared" si="1"/>
        <v>37</v>
      </c>
      <c r="K8" s="2" t="s">
        <v>17</v>
      </c>
      <c r="L8" s="5">
        <f>MileageRangeSummary[[#This Row],[3-Point Avg Miles]]/500</f>
        <v>3.1826666666666665</v>
      </c>
    </row>
    <row r="9" spans="1:12" x14ac:dyDescent="0.25">
      <c r="A9" s="2" t="s">
        <v>48</v>
      </c>
      <c r="B9" s="2" t="s">
        <v>49</v>
      </c>
      <c r="C9" s="2" t="s">
        <v>50</v>
      </c>
      <c r="D9" s="3">
        <v>769</v>
      </c>
      <c r="E9" s="2" t="s">
        <v>51</v>
      </c>
      <c r="F9" s="3">
        <v>1042</v>
      </c>
      <c r="G9" s="2" t="s">
        <v>52</v>
      </c>
      <c r="H9" s="3">
        <v>1110</v>
      </c>
      <c r="I9" s="4">
        <f t="shared" si="0"/>
        <v>973.66666666666663</v>
      </c>
      <c r="J9" s="4">
        <f t="shared" si="1"/>
        <v>341</v>
      </c>
      <c r="K9" s="2" t="s">
        <v>17</v>
      </c>
      <c r="L9" s="5">
        <f>MileageRangeSummary[[#This Row],[3-Point Avg Miles]]/500</f>
        <v>1.9473333333333334</v>
      </c>
    </row>
    <row r="10" spans="1:12" x14ac:dyDescent="0.25">
      <c r="A10" s="2" t="s">
        <v>53</v>
      </c>
      <c r="B10" s="2" t="s">
        <v>54</v>
      </c>
      <c r="C10" s="2" t="s">
        <v>55</v>
      </c>
      <c r="D10" s="3">
        <v>930</v>
      </c>
      <c r="E10" s="2" t="s">
        <v>56</v>
      </c>
      <c r="F10" s="3">
        <v>1023</v>
      </c>
      <c r="G10" s="2" t="s">
        <v>57</v>
      </c>
      <c r="H10" s="3">
        <v>1081</v>
      </c>
      <c r="I10" s="4">
        <f t="shared" si="0"/>
        <v>1011.3333333333334</v>
      </c>
      <c r="J10" s="4">
        <f t="shared" si="1"/>
        <v>151</v>
      </c>
      <c r="K10" s="2" t="s">
        <v>17</v>
      </c>
      <c r="L10" s="5">
        <f>MileageRangeSummary[[#This Row],[3-Point Avg Miles]]/500</f>
        <v>2.0226666666666668</v>
      </c>
    </row>
    <row r="11" spans="1:12" x14ac:dyDescent="0.25">
      <c r="A11" s="2" t="s">
        <v>58</v>
      </c>
      <c r="B11" s="2" t="s">
        <v>59</v>
      </c>
      <c r="C11" s="2" t="s">
        <v>60</v>
      </c>
      <c r="D11" s="3">
        <v>1226</v>
      </c>
      <c r="E11" s="2" t="s">
        <v>61</v>
      </c>
      <c r="F11" s="3">
        <v>1433</v>
      </c>
      <c r="G11" s="2" t="s">
        <v>62</v>
      </c>
      <c r="H11" s="3">
        <v>1717</v>
      </c>
      <c r="I11" s="4">
        <f t="shared" si="0"/>
        <v>1458.6666666666667</v>
      </c>
      <c r="J11" s="4">
        <f t="shared" si="1"/>
        <v>491</v>
      </c>
      <c r="K11" s="2" t="s">
        <v>17</v>
      </c>
      <c r="L11" s="5">
        <f>MileageRangeSummary[[#This Row],[3-Point Avg Miles]]/500</f>
        <v>2.9173333333333336</v>
      </c>
    </row>
    <row r="12" spans="1:12" x14ac:dyDescent="0.25">
      <c r="A12" s="2" t="s">
        <v>63</v>
      </c>
      <c r="B12" s="2" t="s">
        <v>64</v>
      </c>
      <c r="C12" s="2" t="s">
        <v>65</v>
      </c>
      <c r="D12" s="3">
        <v>891</v>
      </c>
      <c r="E12" s="2" t="s">
        <v>35</v>
      </c>
      <c r="F12" s="3">
        <v>1048</v>
      </c>
      <c r="G12" s="2" t="s">
        <v>66</v>
      </c>
      <c r="H12" s="3">
        <v>1223</v>
      </c>
      <c r="I12" s="4">
        <f t="shared" si="0"/>
        <v>1054</v>
      </c>
      <c r="J12" s="4">
        <f t="shared" si="1"/>
        <v>332</v>
      </c>
      <c r="K12" s="2" t="s">
        <v>17</v>
      </c>
      <c r="L12" s="5">
        <f>MileageRangeSummary[[#This Row],[3-Point Avg Miles]]/500</f>
        <v>2.1080000000000001</v>
      </c>
    </row>
    <row r="13" spans="1:12" x14ac:dyDescent="0.25">
      <c r="A13" s="2" t="s">
        <v>67</v>
      </c>
      <c r="B13" s="2" t="s">
        <v>68</v>
      </c>
      <c r="C13" s="2" t="s">
        <v>69</v>
      </c>
      <c r="D13" s="3">
        <v>1000</v>
      </c>
      <c r="E13" s="2" t="s">
        <v>70</v>
      </c>
      <c r="F13" s="3">
        <v>1142</v>
      </c>
      <c r="G13" s="2" t="s">
        <v>71</v>
      </c>
      <c r="H13" s="3">
        <v>1275</v>
      </c>
      <c r="I13" s="4">
        <f t="shared" si="0"/>
        <v>1139</v>
      </c>
      <c r="J13" s="4">
        <f t="shared" si="1"/>
        <v>275</v>
      </c>
      <c r="K13" s="2" t="s">
        <v>17</v>
      </c>
      <c r="L13" s="5">
        <f>MileageRangeSummary[[#This Row],[3-Point Avg Miles]]/500</f>
        <v>2.278</v>
      </c>
    </row>
    <row r="14" spans="1:12" x14ac:dyDescent="0.25">
      <c r="A14" s="2" t="s">
        <v>72</v>
      </c>
      <c r="B14" s="2" t="s">
        <v>73</v>
      </c>
      <c r="C14" s="2" t="s">
        <v>74</v>
      </c>
      <c r="D14" s="3">
        <v>1004</v>
      </c>
      <c r="E14" s="2" t="s">
        <v>75</v>
      </c>
      <c r="F14" s="3">
        <v>1062</v>
      </c>
      <c r="G14" s="2" t="s">
        <v>76</v>
      </c>
      <c r="H14" s="3">
        <v>1189</v>
      </c>
      <c r="I14" s="4">
        <f t="shared" si="0"/>
        <v>1085</v>
      </c>
      <c r="J14" s="4">
        <f t="shared" si="1"/>
        <v>185</v>
      </c>
      <c r="K14" s="2" t="s">
        <v>17</v>
      </c>
      <c r="L14" s="5">
        <f>MileageRangeSummary[[#This Row],[3-Point Avg Miles]]/500</f>
        <v>2.17</v>
      </c>
    </row>
    <row r="15" spans="1:12" x14ac:dyDescent="0.25">
      <c r="A15" s="2" t="s">
        <v>77</v>
      </c>
      <c r="B15" s="2" t="s">
        <v>78</v>
      </c>
      <c r="C15" s="2" t="s">
        <v>79</v>
      </c>
      <c r="D15" s="3">
        <v>664</v>
      </c>
      <c r="E15" s="2" t="s">
        <v>80</v>
      </c>
      <c r="F15" s="3">
        <v>762</v>
      </c>
      <c r="G15" s="2" t="s">
        <v>81</v>
      </c>
      <c r="H15" s="3">
        <v>870</v>
      </c>
      <c r="I15" s="4">
        <f t="shared" si="0"/>
        <v>765.33333333333337</v>
      </c>
      <c r="J15" s="4">
        <f t="shared" si="1"/>
        <v>206</v>
      </c>
      <c r="K15" s="2" t="s">
        <v>17</v>
      </c>
      <c r="L15" s="5">
        <f>MileageRangeSummary[[#This Row],[3-Point Avg Miles]]/500</f>
        <v>1.5306666666666668</v>
      </c>
    </row>
    <row r="16" spans="1:12" x14ac:dyDescent="0.25">
      <c r="A16" s="2" t="s">
        <v>82</v>
      </c>
      <c r="B16" s="2" t="s">
        <v>83</v>
      </c>
      <c r="C16" s="2" t="s">
        <v>84</v>
      </c>
      <c r="D16" s="3">
        <v>917</v>
      </c>
      <c r="E16" s="2" t="s">
        <v>85</v>
      </c>
      <c r="F16" s="3">
        <v>1077</v>
      </c>
      <c r="G16" s="2" t="s">
        <v>86</v>
      </c>
      <c r="H16" s="3">
        <v>1234</v>
      </c>
      <c r="I16" s="4">
        <f t="shared" si="0"/>
        <v>1076</v>
      </c>
      <c r="J16" s="4">
        <f t="shared" si="1"/>
        <v>317</v>
      </c>
      <c r="K16" s="2" t="s">
        <v>17</v>
      </c>
      <c r="L16" s="5">
        <f>MileageRangeSummary[[#This Row],[3-Point Avg Miles]]/500</f>
        <v>2.1520000000000001</v>
      </c>
    </row>
    <row r="17" spans="1:12" x14ac:dyDescent="0.25">
      <c r="A17" s="2" t="s">
        <v>87</v>
      </c>
      <c r="B17" s="2" t="s">
        <v>88</v>
      </c>
      <c r="C17" s="2" t="s">
        <v>89</v>
      </c>
      <c r="D17" s="3">
        <v>407</v>
      </c>
      <c r="E17" s="2" t="s">
        <v>90</v>
      </c>
      <c r="F17" s="3">
        <v>515</v>
      </c>
      <c r="G17" s="2" t="s">
        <v>91</v>
      </c>
      <c r="H17" s="3">
        <v>625</v>
      </c>
      <c r="I17" s="4">
        <f t="shared" si="0"/>
        <v>515.66666666666663</v>
      </c>
      <c r="J17" s="4">
        <f t="shared" si="1"/>
        <v>218</v>
      </c>
      <c r="K17" s="2" t="s">
        <v>17</v>
      </c>
      <c r="L17" s="5">
        <f>MileageRangeSummary[[#This Row],[3-Point Avg Miles]]/500</f>
        <v>1.0313333333333332</v>
      </c>
    </row>
    <row r="18" spans="1:12" x14ac:dyDescent="0.25">
      <c r="A18" s="2" t="s">
        <v>92</v>
      </c>
      <c r="B18" s="2" t="s">
        <v>93</v>
      </c>
      <c r="C18" s="2" t="s">
        <v>94</v>
      </c>
      <c r="D18" s="3">
        <v>1932</v>
      </c>
      <c r="E18" s="2" t="s">
        <v>95</v>
      </c>
      <c r="F18" s="3">
        <v>2066</v>
      </c>
      <c r="G18" s="2" t="s">
        <v>96</v>
      </c>
      <c r="H18" s="3">
        <v>2154</v>
      </c>
      <c r="I18" s="4">
        <f t="shared" si="0"/>
        <v>2050.6666666666665</v>
      </c>
      <c r="J18" s="4">
        <f t="shared" si="1"/>
        <v>222</v>
      </c>
      <c r="K18" s="2" t="s">
        <v>17</v>
      </c>
      <c r="L18" s="5">
        <f>MileageRangeSummary[[#This Row],[3-Point Avg Miles]]/500</f>
        <v>4.1013333333333328</v>
      </c>
    </row>
    <row r="19" spans="1:12" x14ac:dyDescent="0.25">
      <c r="A19" s="2" t="s">
        <v>97</v>
      </c>
      <c r="B19" s="2" t="s">
        <v>98</v>
      </c>
      <c r="C19" s="2" t="s">
        <v>99</v>
      </c>
      <c r="D19" s="3">
        <v>1416</v>
      </c>
      <c r="E19" s="2" t="s">
        <v>100</v>
      </c>
      <c r="F19" s="3">
        <v>1529</v>
      </c>
      <c r="G19" s="2" t="s">
        <v>101</v>
      </c>
      <c r="H19" s="3">
        <v>1595</v>
      </c>
      <c r="I19" s="4">
        <f t="shared" si="0"/>
        <v>1513.3333333333333</v>
      </c>
      <c r="J19" s="4">
        <f t="shared" si="1"/>
        <v>179</v>
      </c>
      <c r="K19" s="2" t="s">
        <v>17</v>
      </c>
      <c r="L19" s="5">
        <f>MileageRangeSummary[[#This Row],[3-Point Avg Miles]]/500</f>
        <v>3.0266666666666664</v>
      </c>
    </row>
    <row r="20" spans="1:12" x14ac:dyDescent="0.25">
      <c r="A20" s="2" t="s">
        <v>102</v>
      </c>
      <c r="B20" s="2" t="s">
        <v>103</v>
      </c>
      <c r="C20" s="2" t="s">
        <v>104</v>
      </c>
      <c r="D20" s="3">
        <v>1811</v>
      </c>
      <c r="E20" s="2" t="s">
        <v>105</v>
      </c>
      <c r="F20" s="3">
        <v>1859</v>
      </c>
      <c r="G20" s="2" t="s">
        <v>106</v>
      </c>
      <c r="H20" s="3">
        <v>1930</v>
      </c>
      <c r="I20" s="4">
        <f t="shared" si="0"/>
        <v>1866.6666666666667</v>
      </c>
      <c r="J20" s="4">
        <f t="shared" si="1"/>
        <v>119</v>
      </c>
      <c r="K20" s="2" t="s">
        <v>17</v>
      </c>
      <c r="L20" s="5">
        <f>MileageRangeSummary[[#This Row],[3-Point Avg Miles]]/500</f>
        <v>3.7333333333333334</v>
      </c>
    </row>
    <row r="21" spans="1:12" x14ac:dyDescent="0.25">
      <c r="A21" s="2" t="s">
        <v>107</v>
      </c>
      <c r="B21" s="2" t="s">
        <v>108</v>
      </c>
      <c r="C21" s="2" t="s">
        <v>109</v>
      </c>
      <c r="D21" s="3">
        <v>1222</v>
      </c>
      <c r="E21" s="2" t="s">
        <v>110</v>
      </c>
      <c r="F21" s="3">
        <v>1401</v>
      </c>
      <c r="G21" s="2" t="s">
        <v>111</v>
      </c>
      <c r="H21" s="3">
        <v>1550</v>
      </c>
      <c r="I21" s="4">
        <f t="shared" si="0"/>
        <v>1391</v>
      </c>
      <c r="J21" s="4">
        <f t="shared" si="1"/>
        <v>328</v>
      </c>
      <c r="K21" s="2" t="s">
        <v>17</v>
      </c>
      <c r="L21" s="5">
        <f>MileageRangeSummary[[#This Row],[3-Point Avg Miles]]/500</f>
        <v>2.782</v>
      </c>
    </row>
    <row r="22" spans="1:12" x14ac:dyDescent="0.25">
      <c r="A22" s="2" t="s">
        <v>112</v>
      </c>
      <c r="B22" s="2" t="s">
        <v>113</v>
      </c>
      <c r="C22" s="2" t="s">
        <v>114</v>
      </c>
      <c r="D22" s="3">
        <v>1131</v>
      </c>
      <c r="E22" s="2" t="s">
        <v>115</v>
      </c>
      <c r="F22" s="3">
        <v>1328</v>
      </c>
      <c r="G22" s="2" t="s">
        <v>116</v>
      </c>
      <c r="H22" s="3">
        <v>1509</v>
      </c>
      <c r="I22" s="4">
        <f t="shared" si="0"/>
        <v>1322.6666666666667</v>
      </c>
      <c r="J22" s="4">
        <f t="shared" si="1"/>
        <v>378</v>
      </c>
      <c r="K22" s="2" t="s">
        <v>17</v>
      </c>
      <c r="L22" s="5">
        <f>MileageRangeSummary[[#This Row],[3-Point Avg Miles]]/500</f>
        <v>2.6453333333333333</v>
      </c>
    </row>
    <row r="23" spans="1:12" x14ac:dyDescent="0.25">
      <c r="A23" s="2" t="s">
        <v>117</v>
      </c>
      <c r="B23" s="2" t="s">
        <v>118</v>
      </c>
      <c r="C23" s="2" t="s">
        <v>119</v>
      </c>
      <c r="D23" s="3">
        <v>562</v>
      </c>
      <c r="E23" s="2" t="s">
        <v>120</v>
      </c>
      <c r="F23" s="3">
        <v>690</v>
      </c>
      <c r="G23" s="2" t="s">
        <v>121</v>
      </c>
      <c r="H23" s="3">
        <v>837</v>
      </c>
      <c r="I23" s="4">
        <f t="shared" si="0"/>
        <v>696.33333333333337</v>
      </c>
      <c r="J23" s="4">
        <f t="shared" si="1"/>
        <v>275</v>
      </c>
      <c r="K23" s="2" t="s">
        <v>17</v>
      </c>
      <c r="L23" s="5">
        <f>MileageRangeSummary[[#This Row],[3-Point Avg Miles]]/500</f>
        <v>1.3926666666666667</v>
      </c>
    </row>
    <row r="24" spans="1:12" x14ac:dyDescent="0.25">
      <c r="A24" s="2" t="s">
        <v>122</v>
      </c>
      <c r="B24" s="2" t="s">
        <v>123</v>
      </c>
      <c r="C24" s="2" t="s">
        <v>124</v>
      </c>
      <c r="D24" s="3">
        <v>723</v>
      </c>
      <c r="E24" s="2" t="s">
        <v>125</v>
      </c>
      <c r="F24" s="3">
        <v>853</v>
      </c>
      <c r="G24" s="2" t="s">
        <v>126</v>
      </c>
      <c r="H24" s="3">
        <v>964</v>
      </c>
      <c r="I24" s="4">
        <f t="shared" si="0"/>
        <v>846.66666666666663</v>
      </c>
      <c r="J24" s="4">
        <f t="shared" si="1"/>
        <v>241</v>
      </c>
      <c r="K24" s="2" t="s">
        <v>17</v>
      </c>
      <c r="L24" s="5">
        <f>MileageRangeSummary[[#This Row],[3-Point Avg Miles]]/500</f>
        <v>1.6933333333333334</v>
      </c>
    </row>
    <row r="25" spans="1:12" x14ac:dyDescent="0.25">
      <c r="A25" s="2" t="s">
        <v>127</v>
      </c>
      <c r="B25" s="2" t="s">
        <v>128</v>
      </c>
      <c r="C25" s="2" t="s">
        <v>129</v>
      </c>
      <c r="D25" s="3">
        <v>1281</v>
      </c>
      <c r="E25" s="2" t="s">
        <v>130</v>
      </c>
      <c r="F25" s="3">
        <v>1458</v>
      </c>
      <c r="G25" s="2" t="s">
        <v>131</v>
      </c>
      <c r="H25" s="3">
        <v>1694</v>
      </c>
      <c r="I25" s="4">
        <f t="shared" si="0"/>
        <v>1477.6666666666667</v>
      </c>
      <c r="J25" s="4">
        <f t="shared" si="1"/>
        <v>413</v>
      </c>
      <c r="K25" s="2" t="s">
        <v>17</v>
      </c>
      <c r="L25" s="5">
        <f>MileageRangeSummary[[#This Row],[3-Point Avg Miles]]/500</f>
        <v>2.9553333333333334</v>
      </c>
    </row>
    <row r="26" spans="1:12" x14ac:dyDescent="0.25">
      <c r="A26" s="2" t="s">
        <v>132</v>
      </c>
      <c r="B26" s="2" t="s">
        <v>133</v>
      </c>
      <c r="C26" s="2" t="s">
        <v>134</v>
      </c>
      <c r="D26" s="3">
        <v>880</v>
      </c>
      <c r="E26" s="2" t="s">
        <v>135</v>
      </c>
      <c r="F26" s="3">
        <v>970</v>
      </c>
      <c r="G26" s="2" t="s">
        <v>136</v>
      </c>
      <c r="H26" s="3">
        <v>1049</v>
      </c>
      <c r="I26" s="4">
        <f t="shared" si="0"/>
        <v>966.33333333333337</v>
      </c>
      <c r="J26" s="4">
        <f t="shared" si="1"/>
        <v>169</v>
      </c>
      <c r="K26" s="2" t="s">
        <v>17</v>
      </c>
      <c r="L26" s="5">
        <f>MileageRangeSummary[[#This Row],[3-Point Avg Miles]]/500</f>
        <v>1.9326666666666668</v>
      </c>
    </row>
    <row r="27" spans="1:12" x14ac:dyDescent="0.25">
      <c r="A27" s="2" t="s">
        <v>137</v>
      </c>
      <c r="B27" s="2" t="s">
        <v>138</v>
      </c>
      <c r="C27" s="2" t="s">
        <v>139</v>
      </c>
      <c r="D27" s="3">
        <v>1033</v>
      </c>
      <c r="E27" s="2" t="s">
        <v>140</v>
      </c>
      <c r="F27" s="3">
        <v>1278</v>
      </c>
      <c r="G27" s="2" t="s">
        <v>141</v>
      </c>
      <c r="H27" s="3">
        <v>1316</v>
      </c>
      <c r="I27" s="4">
        <f t="shared" si="0"/>
        <v>1209</v>
      </c>
      <c r="J27" s="4">
        <f t="shared" si="1"/>
        <v>283</v>
      </c>
      <c r="K27" s="2" t="s">
        <v>17</v>
      </c>
      <c r="L27" s="5">
        <f>MileageRangeSummary[[#This Row],[3-Point Avg Miles]]/500</f>
        <v>2.4180000000000001</v>
      </c>
    </row>
    <row r="28" spans="1:12" x14ac:dyDescent="0.25">
      <c r="A28" s="2" t="s">
        <v>142</v>
      </c>
      <c r="B28" s="2" t="s">
        <v>143</v>
      </c>
      <c r="C28" s="2" t="s">
        <v>144</v>
      </c>
      <c r="D28" s="3">
        <v>1857</v>
      </c>
      <c r="E28" s="2" t="s">
        <v>86</v>
      </c>
      <c r="F28" s="3">
        <v>1911</v>
      </c>
      <c r="G28" s="2" t="s">
        <v>145</v>
      </c>
      <c r="H28" s="3">
        <v>1953</v>
      </c>
      <c r="I28" s="4">
        <f t="shared" si="0"/>
        <v>1907</v>
      </c>
      <c r="J28" s="4">
        <f t="shared" si="1"/>
        <v>96</v>
      </c>
      <c r="K28" s="2" t="s">
        <v>17</v>
      </c>
      <c r="L28" s="5">
        <f>MileageRangeSummary[[#This Row],[3-Point Avg Miles]]/500</f>
        <v>3.8140000000000001</v>
      </c>
    </row>
    <row r="29" spans="1:12" x14ac:dyDescent="0.25">
      <c r="A29" s="2" t="s">
        <v>146</v>
      </c>
      <c r="B29" s="2" t="s">
        <v>147</v>
      </c>
      <c r="C29" s="2" t="s">
        <v>148</v>
      </c>
      <c r="D29" s="3">
        <v>1619</v>
      </c>
      <c r="E29" s="2" t="s">
        <v>149</v>
      </c>
      <c r="F29" s="3">
        <v>1664</v>
      </c>
      <c r="G29" s="2" t="s">
        <v>150</v>
      </c>
      <c r="H29" s="3">
        <v>1693</v>
      </c>
      <c r="I29" s="4">
        <f t="shared" si="0"/>
        <v>1658.6666666666667</v>
      </c>
      <c r="J29" s="4">
        <f t="shared" si="1"/>
        <v>74</v>
      </c>
      <c r="K29" s="2" t="s">
        <v>17</v>
      </c>
      <c r="L29" s="5">
        <f>MileageRangeSummary[[#This Row],[3-Point Avg Miles]]/500</f>
        <v>3.3173333333333335</v>
      </c>
    </row>
    <row r="30" spans="1:12" x14ac:dyDescent="0.25">
      <c r="A30" s="2" t="s">
        <v>151</v>
      </c>
      <c r="B30" s="2" t="s">
        <v>152</v>
      </c>
      <c r="C30" s="2" t="s">
        <v>153</v>
      </c>
      <c r="D30" s="3">
        <v>420</v>
      </c>
      <c r="E30" s="2" t="s">
        <v>154</v>
      </c>
      <c r="F30" s="3">
        <v>617</v>
      </c>
      <c r="G30" s="2" t="s">
        <v>155</v>
      </c>
      <c r="H30" s="3">
        <v>815</v>
      </c>
      <c r="I30" s="4">
        <f t="shared" si="0"/>
        <v>617.33333333333337</v>
      </c>
      <c r="J30" s="4">
        <f t="shared" si="1"/>
        <v>395</v>
      </c>
      <c r="K30" s="2" t="s">
        <v>17</v>
      </c>
      <c r="L30" s="5">
        <f>MileageRangeSummary[[#This Row],[3-Point Avg Miles]]/500</f>
        <v>1.2346666666666668</v>
      </c>
    </row>
    <row r="31" spans="1:12" x14ac:dyDescent="0.25">
      <c r="A31" s="2" t="s">
        <v>156</v>
      </c>
      <c r="B31" s="2" t="s">
        <v>157</v>
      </c>
      <c r="C31" s="2" t="s">
        <v>158</v>
      </c>
      <c r="D31" s="3">
        <v>1522</v>
      </c>
      <c r="E31" s="2" t="s">
        <v>159</v>
      </c>
      <c r="F31" s="3">
        <v>1713</v>
      </c>
      <c r="G31" s="2" t="s">
        <v>160</v>
      </c>
      <c r="H31" s="3">
        <v>1864</v>
      </c>
      <c r="I31" s="4">
        <f t="shared" si="0"/>
        <v>1699.6666666666667</v>
      </c>
      <c r="J31" s="4">
        <f t="shared" si="1"/>
        <v>342</v>
      </c>
      <c r="K31" s="2" t="s">
        <v>17</v>
      </c>
      <c r="L31" s="5">
        <f>MileageRangeSummary[[#This Row],[3-Point Avg Miles]]/500</f>
        <v>3.3993333333333333</v>
      </c>
    </row>
    <row r="32" spans="1:12" x14ac:dyDescent="0.25">
      <c r="A32" s="2" t="s">
        <v>161</v>
      </c>
      <c r="B32" s="2" t="s">
        <v>162</v>
      </c>
      <c r="C32" s="2" t="s">
        <v>163</v>
      </c>
      <c r="D32" s="3">
        <v>1051</v>
      </c>
      <c r="E32" s="2" t="s">
        <v>164</v>
      </c>
      <c r="F32" s="3">
        <v>1306</v>
      </c>
      <c r="G32" s="2" t="s">
        <v>165</v>
      </c>
      <c r="H32" s="3">
        <v>1515</v>
      </c>
      <c r="I32" s="4">
        <f t="shared" si="0"/>
        <v>1290.6666666666667</v>
      </c>
      <c r="J32" s="4">
        <f t="shared" si="1"/>
        <v>464</v>
      </c>
      <c r="K32" s="2" t="s">
        <v>17</v>
      </c>
      <c r="L32" s="5">
        <f>MileageRangeSummary[[#This Row],[3-Point Avg Miles]]/500</f>
        <v>2.5813333333333337</v>
      </c>
    </row>
    <row r="33" spans="1:12" x14ac:dyDescent="0.25">
      <c r="A33" s="2" t="s">
        <v>166</v>
      </c>
      <c r="B33" s="2" t="s">
        <v>167</v>
      </c>
      <c r="C33" s="2" t="s">
        <v>168</v>
      </c>
      <c r="D33" s="3">
        <v>1308</v>
      </c>
      <c r="E33" s="2" t="s">
        <v>169</v>
      </c>
      <c r="F33" s="3">
        <v>1379</v>
      </c>
      <c r="G33" s="2" t="s">
        <v>170</v>
      </c>
      <c r="H33" s="3">
        <v>1488</v>
      </c>
      <c r="I33" s="4">
        <f t="shared" si="0"/>
        <v>1391.6666666666667</v>
      </c>
      <c r="J33" s="4">
        <f t="shared" si="1"/>
        <v>180</v>
      </c>
      <c r="K33" s="2" t="s">
        <v>17</v>
      </c>
      <c r="L33" s="5">
        <f>MileageRangeSummary[[#This Row],[3-Point Avg Miles]]/500</f>
        <v>2.7833333333333337</v>
      </c>
    </row>
    <row r="34" spans="1:12" x14ac:dyDescent="0.25">
      <c r="A34" s="2" t="s">
        <v>171</v>
      </c>
      <c r="B34" s="2" t="s">
        <v>172</v>
      </c>
      <c r="C34" s="2" t="s">
        <v>173</v>
      </c>
      <c r="D34" s="3">
        <v>1177</v>
      </c>
      <c r="E34" s="2" t="s">
        <v>174</v>
      </c>
      <c r="F34" s="3">
        <v>1299</v>
      </c>
      <c r="G34" s="2" t="s">
        <v>175</v>
      </c>
      <c r="H34" s="3">
        <v>1448</v>
      </c>
      <c r="I34" s="4">
        <f t="shared" si="0"/>
        <v>1308</v>
      </c>
      <c r="J34" s="4">
        <f t="shared" si="1"/>
        <v>271</v>
      </c>
      <c r="K34" s="2" t="s">
        <v>17</v>
      </c>
      <c r="L34" s="5">
        <f>MileageRangeSummary[[#This Row],[3-Point Avg Miles]]/500</f>
        <v>2.6160000000000001</v>
      </c>
    </row>
    <row r="35" spans="1:12" x14ac:dyDescent="0.25">
      <c r="A35" s="2" t="s">
        <v>176</v>
      </c>
      <c r="B35" s="2" t="s">
        <v>177</v>
      </c>
      <c r="C35" s="2" t="s">
        <v>178</v>
      </c>
      <c r="D35" s="3">
        <v>493</v>
      </c>
      <c r="E35" s="2" t="s">
        <v>179</v>
      </c>
      <c r="F35" s="3">
        <v>571</v>
      </c>
      <c r="G35" s="2" t="s">
        <v>180</v>
      </c>
      <c r="H35" s="3">
        <v>702</v>
      </c>
      <c r="I35" s="4">
        <f t="shared" si="0"/>
        <v>588.66666666666663</v>
      </c>
      <c r="J35" s="4">
        <f t="shared" si="1"/>
        <v>209</v>
      </c>
      <c r="K35" s="2" t="s">
        <v>17</v>
      </c>
      <c r="L35" s="5">
        <f>MileageRangeSummary[[#This Row],[3-Point Avg Miles]]/500</f>
        <v>1.1773333333333333</v>
      </c>
    </row>
    <row r="36" spans="1:12" x14ac:dyDescent="0.25">
      <c r="A36" s="2" t="s">
        <v>181</v>
      </c>
      <c r="B36" s="2" t="s">
        <v>182</v>
      </c>
      <c r="C36" s="2" t="s">
        <v>183</v>
      </c>
      <c r="D36" s="3">
        <v>1497</v>
      </c>
      <c r="E36" s="2" t="s">
        <v>184</v>
      </c>
      <c r="F36" s="3">
        <v>1629</v>
      </c>
      <c r="G36" s="2" t="s">
        <v>185</v>
      </c>
      <c r="H36" s="3">
        <v>1850</v>
      </c>
      <c r="I36" s="4">
        <f t="shared" si="0"/>
        <v>1658.6666666666667</v>
      </c>
      <c r="J36" s="4">
        <f t="shared" si="1"/>
        <v>353</v>
      </c>
      <c r="K36" s="2" t="s">
        <v>17</v>
      </c>
      <c r="L36" s="5">
        <f>MileageRangeSummary[[#This Row],[3-Point Avg Miles]]/500</f>
        <v>3.3173333333333335</v>
      </c>
    </row>
    <row r="37" spans="1:12" x14ac:dyDescent="0.25">
      <c r="A37" s="2" t="s">
        <v>186</v>
      </c>
      <c r="B37" s="2" t="s">
        <v>187</v>
      </c>
      <c r="C37" s="2" t="s">
        <v>188</v>
      </c>
      <c r="D37" s="3">
        <v>1397</v>
      </c>
      <c r="E37" s="2" t="s">
        <v>189</v>
      </c>
      <c r="F37" s="3">
        <v>1540</v>
      </c>
      <c r="G37" s="2" t="s">
        <v>190</v>
      </c>
      <c r="H37" s="3">
        <v>1692</v>
      </c>
      <c r="I37" s="4">
        <f t="shared" si="0"/>
        <v>1543</v>
      </c>
      <c r="J37" s="4">
        <f t="shared" si="1"/>
        <v>295</v>
      </c>
      <c r="K37" s="2" t="s">
        <v>17</v>
      </c>
      <c r="L37" s="5">
        <f>MileageRangeSummary[[#This Row],[3-Point Avg Miles]]/500</f>
        <v>3.0859999999999999</v>
      </c>
    </row>
    <row r="38" spans="1:12" x14ac:dyDescent="0.25">
      <c r="A38" s="2" t="s">
        <v>191</v>
      </c>
      <c r="B38" s="2" t="s">
        <v>192</v>
      </c>
      <c r="C38" s="2" t="s">
        <v>193</v>
      </c>
      <c r="D38" s="3">
        <v>1833</v>
      </c>
      <c r="E38" s="2" t="s">
        <v>194</v>
      </c>
      <c r="F38" s="3">
        <v>1854</v>
      </c>
      <c r="G38" s="2" t="s">
        <v>195</v>
      </c>
      <c r="H38" s="3">
        <v>1865</v>
      </c>
      <c r="I38" s="4">
        <f t="shared" si="0"/>
        <v>1850.6666666666667</v>
      </c>
      <c r="J38" s="4">
        <f t="shared" si="1"/>
        <v>32</v>
      </c>
      <c r="K38" s="2" t="s">
        <v>17</v>
      </c>
      <c r="L38" s="5">
        <f>MileageRangeSummary[[#This Row],[3-Point Avg Miles]]/500</f>
        <v>3.7013333333333334</v>
      </c>
    </row>
    <row r="39" spans="1:12" x14ac:dyDescent="0.25">
      <c r="A39" s="2" t="s">
        <v>196</v>
      </c>
      <c r="B39" s="2" t="s">
        <v>197</v>
      </c>
      <c r="C39" s="2" t="s">
        <v>198</v>
      </c>
      <c r="D39" s="3">
        <v>1136</v>
      </c>
      <c r="E39" s="2" t="s">
        <v>199</v>
      </c>
      <c r="F39" s="3">
        <v>1189</v>
      </c>
      <c r="G39" s="2" t="s">
        <v>200</v>
      </c>
      <c r="H39" s="3">
        <v>1296</v>
      </c>
      <c r="I39" s="4">
        <f t="shared" si="0"/>
        <v>1207</v>
      </c>
      <c r="J39" s="4">
        <f t="shared" si="1"/>
        <v>160</v>
      </c>
      <c r="K39" s="2" t="s">
        <v>17</v>
      </c>
      <c r="L39" s="5">
        <f>MileageRangeSummary[[#This Row],[3-Point Avg Miles]]/500</f>
        <v>2.4140000000000001</v>
      </c>
    </row>
    <row r="40" spans="1:12" x14ac:dyDescent="0.25">
      <c r="A40" s="2" t="s">
        <v>201</v>
      </c>
      <c r="B40" s="2" t="s">
        <v>202</v>
      </c>
      <c r="C40" s="2" t="s">
        <v>203</v>
      </c>
      <c r="D40" s="3">
        <v>1123</v>
      </c>
      <c r="E40" s="2" t="s">
        <v>204</v>
      </c>
      <c r="F40" s="3">
        <v>1171</v>
      </c>
      <c r="G40" s="2" t="s">
        <v>205</v>
      </c>
      <c r="H40" s="3">
        <v>1262</v>
      </c>
      <c r="I40" s="4">
        <f t="shared" si="0"/>
        <v>1185.3333333333333</v>
      </c>
      <c r="J40" s="4">
        <f t="shared" si="1"/>
        <v>139</v>
      </c>
      <c r="K40" s="2" t="s">
        <v>17</v>
      </c>
      <c r="L40" s="5">
        <f>MileageRangeSummary[[#This Row],[3-Point Avg Miles]]/500</f>
        <v>2.3706666666666667</v>
      </c>
    </row>
    <row r="41" spans="1:12" x14ac:dyDescent="0.25">
      <c r="A41" s="2" t="s">
        <v>206</v>
      </c>
      <c r="B41" s="2" t="s">
        <v>207</v>
      </c>
      <c r="C41" s="2" t="s">
        <v>208</v>
      </c>
      <c r="D41" s="3">
        <v>768</v>
      </c>
      <c r="E41" s="2" t="s">
        <v>209</v>
      </c>
      <c r="F41" s="3">
        <v>964</v>
      </c>
      <c r="G41" s="2" t="s">
        <v>210</v>
      </c>
      <c r="H41" s="3">
        <v>1190</v>
      </c>
      <c r="I41" s="4">
        <f t="shared" si="0"/>
        <v>974</v>
      </c>
      <c r="J41" s="4">
        <f t="shared" si="1"/>
        <v>422</v>
      </c>
      <c r="K41" s="2" t="s">
        <v>17</v>
      </c>
      <c r="L41" s="5">
        <f>MileageRangeSummary[[#This Row],[3-Point Avg Miles]]/500</f>
        <v>1.948</v>
      </c>
    </row>
    <row r="42" spans="1:12" x14ac:dyDescent="0.25">
      <c r="A42" s="2" t="s">
        <v>211</v>
      </c>
      <c r="B42" s="2" t="s">
        <v>212</v>
      </c>
      <c r="C42" s="2" t="s">
        <v>213</v>
      </c>
      <c r="D42" s="3">
        <v>0</v>
      </c>
      <c r="E42" s="2" t="s">
        <v>214</v>
      </c>
      <c r="F42" s="3">
        <v>275</v>
      </c>
      <c r="G42" s="2" t="s">
        <v>215</v>
      </c>
      <c r="H42" s="3">
        <v>647</v>
      </c>
      <c r="I42" s="4">
        <f t="shared" si="0"/>
        <v>307.33333333333331</v>
      </c>
      <c r="J42" s="4">
        <f t="shared" si="1"/>
        <v>647</v>
      </c>
      <c r="K42" s="2" t="s">
        <v>17</v>
      </c>
      <c r="L42" s="5">
        <f>MileageRangeSummary[[#This Row],[3-Point Avg Miles]]/500</f>
        <v>0.61466666666666658</v>
      </c>
    </row>
    <row r="43" spans="1:12" x14ac:dyDescent="0.25">
      <c r="A43" s="2" t="s">
        <v>216</v>
      </c>
      <c r="B43" s="2" t="s">
        <v>217</v>
      </c>
      <c r="C43" s="2" t="s">
        <v>218</v>
      </c>
      <c r="D43" s="3">
        <v>893</v>
      </c>
      <c r="E43" s="2" t="s">
        <v>219</v>
      </c>
      <c r="F43" s="3">
        <v>1074</v>
      </c>
      <c r="G43" s="2" t="s">
        <v>220</v>
      </c>
      <c r="H43" s="3">
        <v>1205</v>
      </c>
      <c r="I43" s="4">
        <f t="shared" si="0"/>
        <v>1057.3333333333333</v>
      </c>
      <c r="J43" s="4">
        <f t="shared" si="1"/>
        <v>312</v>
      </c>
      <c r="K43" s="2" t="s">
        <v>17</v>
      </c>
      <c r="L43" s="5">
        <f>MileageRangeSummary[[#This Row],[3-Point Avg Miles]]/500</f>
        <v>2.1146666666666665</v>
      </c>
    </row>
    <row r="44" spans="1:12" x14ac:dyDescent="0.25">
      <c r="A44" s="2" t="s">
        <v>221</v>
      </c>
      <c r="B44" s="2" t="s">
        <v>222</v>
      </c>
      <c r="C44" s="2" t="s">
        <v>223</v>
      </c>
      <c r="D44" s="3">
        <v>1814</v>
      </c>
      <c r="E44" s="2" t="s">
        <v>224</v>
      </c>
      <c r="F44" s="3">
        <v>1876</v>
      </c>
      <c r="G44" s="2" t="s">
        <v>225</v>
      </c>
      <c r="H44" s="3">
        <v>1925</v>
      </c>
      <c r="I44" s="4">
        <f t="shared" si="0"/>
        <v>1871.6666666666667</v>
      </c>
      <c r="J44" s="4">
        <f t="shared" si="1"/>
        <v>111</v>
      </c>
      <c r="K44" s="2" t="s">
        <v>17</v>
      </c>
      <c r="L44" s="5">
        <f>MileageRangeSummary[[#This Row],[3-Point Avg Miles]]/500</f>
        <v>3.7433333333333336</v>
      </c>
    </row>
    <row r="45" spans="1:12" x14ac:dyDescent="0.25">
      <c r="A45" s="2" t="s">
        <v>226</v>
      </c>
      <c r="B45" s="2" t="s">
        <v>227</v>
      </c>
      <c r="C45" s="2" t="s">
        <v>210</v>
      </c>
      <c r="D45" s="3">
        <v>1190</v>
      </c>
      <c r="E45" s="2" t="s">
        <v>228</v>
      </c>
      <c r="F45" s="3">
        <v>1384</v>
      </c>
      <c r="G45" s="2" t="s">
        <v>229</v>
      </c>
      <c r="H45" s="3">
        <v>1570</v>
      </c>
      <c r="I45" s="4">
        <f t="shared" si="0"/>
        <v>1381.3333333333333</v>
      </c>
      <c r="J45" s="4">
        <f t="shared" si="1"/>
        <v>380</v>
      </c>
      <c r="K45" s="2" t="s">
        <v>17</v>
      </c>
      <c r="L45" s="5">
        <f>MileageRangeSummary[[#This Row],[3-Point Avg Miles]]/500</f>
        <v>2.7626666666666666</v>
      </c>
    </row>
    <row r="46" spans="1:12" x14ac:dyDescent="0.25">
      <c r="A46" s="2" t="s">
        <v>230</v>
      </c>
      <c r="B46" s="2" t="s">
        <v>231</v>
      </c>
      <c r="C46" s="2" t="s">
        <v>232</v>
      </c>
      <c r="D46" s="3">
        <v>1644</v>
      </c>
      <c r="E46" s="2" t="s">
        <v>233</v>
      </c>
      <c r="F46" s="3">
        <v>1779</v>
      </c>
      <c r="G46" s="2" t="s">
        <v>234</v>
      </c>
      <c r="H46" s="3">
        <v>1916</v>
      </c>
      <c r="I46" s="4">
        <f t="shared" si="0"/>
        <v>1779.6666666666667</v>
      </c>
      <c r="J46" s="4">
        <f t="shared" si="1"/>
        <v>272</v>
      </c>
      <c r="K46" s="2" t="s">
        <v>17</v>
      </c>
      <c r="L46" s="5">
        <f>MileageRangeSummary[[#This Row],[3-Point Avg Miles]]/500</f>
        <v>3.5593333333333335</v>
      </c>
    </row>
    <row r="47" spans="1:12" x14ac:dyDescent="0.25">
      <c r="A47" s="2" t="s">
        <v>235</v>
      </c>
      <c r="B47" s="2" t="s">
        <v>236</v>
      </c>
      <c r="C47" s="2" t="s">
        <v>237</v>
      </c>
      <c r="D47" s="3">
        <v>1259</v>
      </c>
      <c r="E47" s="2" t="s">
        <v>238</v>
      </c>
      <c r="F47" s="3">
        <v>1333</v>
      </c>
      <c r="G47" s="2" t="s">
        <v>239</v>
      </c>
      <c r="H47" s="3">
        <v>1399</v>
      </c>
      <c r="I47" s="4">
        <f t="shared" si="0"/>
        <v>1330.3333333333333</v>
      </c>
      <c r="J47" s="4">
        <f t="shared" si="1"/>
        <v>140</v>
      </c>
      <c r="K47" s="2" t="s">
        <v>17</v>
      </c>
      <c r="L47" s="5">
        <f>MileageRangeSummary[[#This Row],[3-Point Avg Miles]]/500</f>
        <v>2.6606666666666667</v>
      </c>
    </row>
    <row r="48" spans="1:12" x14ac:dyDescent="0.25">
      <c r="A48" s="2" t="s">
        <v>240</v>
      </c>
      <c r="B48" s="2" t="s">
        <v>241</v>
      </c>
      <c r="C48" s="2" t="s">
        <v>242</v>
      </c>
      <c r="D48" s="3">
        <v>1192</v>
      </c>
      <c r="E48" s="2" t="s">
        <v>243</v>
      </c>
      <c r="F48" s="3">
        <v>1295</v>
      </c>
      <c r="G48" s="2" t="s">
        <v>244</v>
      </c>
      <c r="H48" s="3">
        <v>1387</v>
      </c>
      <c r="I48" s="4">
        <f t="shared" si="0"/>
        <v>1291.3333333333333</v>
      </c>
      <c r="J48" s="4">
        <f t="shared" si="1"/>
        <v>195</v>
      </c>
      <c r="K48" s="2" t="s">
        <v>17</v>
      </c>
      <c r="L48" s="5">
        <f>MileageRangeSummary[[#This Row],[3-Point Avg Miles]]/500</f>
        <v>2.5826666666666664</v>
      </c>
    </row>
    <row r="49" spans="1:12" x14ac:dyDescent="0.25">
      <c r="A49" s="2" t="s">
        <v>245</v>
      </c>
      <c r="B49" s="2" t="s">
        <v>246</v>
      </c>
      <c r="C49" s="2" t="s">
        <v>247</v>
      </c>
      <c r="D49" s="3">
        <v>989</v>
      </c>
      <c r="E49" s="2" t="s">
        <v>248</v>
      </c>
      <c r="F49" s="3">
        <v>1161</v>
      </c>
      <c r="G49" s="2" t="s">
        <v>249</v>
      </c>
      <c r="H49" s="3">
        <v>1289</v>
      </c>
      <c r="I49" s="4">
        <f t="shared" si="0"/>
        <v>1146.3333333333333</v>
      </c>
      <c r="J49" s="4">
        <f t="shared" si="1"/>
        <v>300</v>
      </c>
      <c r="K49" s="2" t="s">
        <v>17</v>
      </c>
      <c r="L49" s="5">
        <f>MileageRangeSummary[[#This Row],[3-Point Avg Miles]]/500</f>
        <v>2.2926666666666664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Mileage Range Summary</vt:lpstr>
    </vt:vector>
  </TitlesOfParts>
  <Company>Ryder System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Armbruster</dc:creator>
  <cp:lastModifiedBy>Daniel Armbruster</cp:lastModifiedBy>
  <dcterms:created xsi:type="dcterms:W3CDTF">2026-07-15T14:39:46Z</dcterms:created>
  <dcterms:modified xsi:type="dcterms:W3CDTF">2026-07-15T14:40:19Z</dcterms:modified>
</cp:coreProperties>
</file>